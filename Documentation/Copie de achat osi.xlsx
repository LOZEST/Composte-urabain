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<sst xmlns="http://schemas.openxmlformats.org/spreadsheetml/2006/main" count="52" uniqueCount="51">
  <si>
    <t>composant</t>
  </si>
  <si>
    <t>nombre</t>
  </si>
  <si>
    <t>lien</t>
  </si>
  <si>
    <t>code</t>
  </si>
  <si>
    <t>prix uniter</t>
  </si>
  <si>
    <t>prix total</t>
  </si>
  <si>
    <t>Dimension</t>
  </si>
  <si>
    <t>moteur</t>
  </si>
  <si>
    <t>Moteur 28BYJ-48-08 5 Vcc - Gotronic</t>
  </si>
  <si>
    <t>capteur gaz</t>
  </si>
  <si>
    <t>Capteur de gaz MQ2 - Gotronic</t>
  </si>
  <si>
    <t>3,0 x 2,0 x 2,2 cm</t>
  </si>
  <si>
    <t>Arduino Mega</t>
  </si>
  <si>
    <r>
      <rPr>
        <color rgb="FF1155CC"/>
        <u/>
      </rPr>
      <t>Arduino MEGA 2560</t>
    </r>
  </si>
  <si>
    <t>10,7 x 5,3 x 1,5 cm</t>
  </si>
  <si>
    <t>kit</t>
  </si>
  <si>
    <t>KEYESTUDIO Kit électronique de Suivi Solaire DIY pour Arduino UNO, capteur de température et d'humidité, capteur de lumière BH1750, etc. Cadeau de Programmation éducatif pour Adolescents Adultes : Amazon.fr</t>
  </si>
  <si>
    <t>capteur qualité air</t>
  </si>
  <si>
    <r>
      <rPr>
        <color rgb="FF1155CC"/>
        <u/>
      </rPr>
      <t>Capteur de qualité d'air TVOC et eCO2 PIM480 - Gotronic</t>
    </r>
  </si>
  <si>
    <t>1,9 x 1,9 x 3 cm</t>
  </si>
  <si>
    <t>Capteur de force FSR03</t>
  </si>
  <si>
    <r>
      <rPr>
        <color rgb="FF1155CC"/>
        <u/>
      </rPr>
      <t>Capteur de force FSR03 - Gotronic</t>
    </r>
  </si>
  <si>
    <t>4,4cm x 8,3cm</t>
  </si>
  <si>
    <t>capteur d'humidité &amp;Tme</t>
  </si>
  <si>
    <t>https://www.gotronic.fr/art-capteur-dht20-gravity-47640.htm</t>
  </si>
  <si>
    <t>insert plastique</t>
  </si>
  <si>
    <t>100pcs Printing Nuts insert fileté M3, inserts réglage thermique M3, écrous en laiton, inserts filetés pour plastique, vis à filetage moleté en laiton, pour impression 3D, coque plastique automobile : Amazon.fr</t>
  </si>
  <si>
    <t>visse M3 30mm</t>
  </si>
  <si>
    <t>10 vis acier M3 30mm - Gotronic</t>
  </si>
  <si>
    <t>3 cm</t>
  </si>
  <si>
    <t>visse M3 6mm</t>
  </si>
  <si>
    <r>
      <rPr>
        <color rgb="FF1155CC"/>
        <u/>
      </rPr>
      <t>10 vis acier M3 6mm - Gotronic</t>
    </r>
  </si>
  <si>
    <t>0,6cm</t>
  </si>
  <si>
    <t>vis acier M3 10mm</t>
  </si>
  <si>
    <r>
      <rPr>
        <color rgb="FF1155CC"/>
        <u/>
      </rPr>
      <t>10 vis acier M3 10mm - Gotronic</t>
    </r>
  </si>
  <si>
    <t>1cm</t>
  </si>
  <si>
    <t>vis M3 20mm</t>
  </si>
  <si>
    <r>
      <rPr>
        <color rgb="FF1155CC"/>
        <u/>
      </rPr>
      <t>10 vis acier M3 20mm - Gotronic</t>
    </r>
  </si>
  <si>
    <t>2cm</t>
  </si>
  <si>
    <t>eMagTech 1Pc Tiny Mini Cylindrique Aspiration Solénoïde Électroaimant Tubulaire Micro Aspiration Magnétique pour Aspiration Électromagnétique Serrure Électromagnétique 8x34.5x2.9mm 3V : Amazon.fr: Commerce, Industrie et Science</t>
  </si>
  <si>
    <t xml:space="preserve">poulie </t>
  </si>
  <si>
    <t>25 Pièces Poulies D'éLevage en Plastique Roue de Corde de Levage Roues de Remorquage de Fil Automatique pour l' en Serre : Amazon.fr: Commerce, Industrie et Science</t>
  </si>
  <si>
    <t>2,5cm</t>
  </si>
  <si>
    <t>Roulement a bille 684ZZ</t>
  </si>
  <si>
    <t>https://www.amazon.fr/Oikabio-Roulement-ABEC-5-pi%C3%A8ces-Miniature/dp/B0BBG8Z51V/ref=sr_1_15?crid=2WF9RY1BLUTAS&amp;dib=eyJ2IjoiMSJ9.P2ts2lD-jcJs9WC4SlWsENmGyy_t0Pz_S2m3i-8L8s-z-BZRYQr0VBD-B8G2UbqI4343FNZdKF-RZ1MFYnk5TSmfzQFhfKk-SwLLreNAwnr2ucEejd7heMpXQCVGvitOQGC3MA5qALugsJYoCG3gG5bZYrg1ucNTYNMBjS3HUy7IbNtR0vpy1NYeMcA3Xq9L3ypW4Aybh_et58zPH9Z05CYabnHYqEp0GwqXjMHnCfZDi0AYOOECJLICF_Nv0zyaA-v_F2f_AK3RymaRjmao7OVRIthF-taVNtmsO1ZAMik.DKDV24u6aB44iiETcSB9A8nv-qRwdj0T45kEHjWootk&amp;dib_tag=se&amp;keywords=roulement+684&amp;qid=1769681198&amp;sprefix=684+rouleme%2Caps%2C254&amp;sr=8-15</t>
  </si>
  <si>
    <t xml:space="preserve">lecteur QRcode </t>
  </si>
  <si>
    <t>https://www.amazon.fr/HanOaki-codes-barres-contr%C3%B4le-syst%C3%A8mes-embarqu%C3%A9s/dp/B0G3P28KLH/ref=sr_1_6?crid=3O7BI6TW2XR92&amp;dib=eyJ2IjoiMSJ9.GGv22wk_Qc3Xqw9Jxg3KJYnS4S_GPOgBbNy_lHHzUlpyOpnw5PT-3jGMXhq3Ok_dl1O-fjOnLmHMPlf2zRctMV5LAdE2AqIfvKQnkQml5zBMleha9upUpkuNXXfCVb6Sr7iBxkNk9NsftaJrVDlyIR2D3OkZ7YEuUcKZj1ZwkihI2gPFJ5UiU4Ax5QnnCHRJJkvV9AZ8CqZXqDmiNCtFymIKaVb6lS-HJzFKAKowz6apnr9bBTLTZ7Tg97RY8ODVwEenSxJlc9P0n0Wp0GKAQHnE_807GguoEJQmrV6xr9A.WA1xiummBAml4Otoa5m1sbapmDSJwjNL38Jr2nExkh0&amp;dib_tag=se&amp;keywords=lecteur+qr+code+arduino&amp;qid=1770718271&amp;sprefix=qr+code+arduino%2Caps%2C557&amp;sr=8-6</t>
  </si>
  <si>
    <t>Plaque de Plastique Transparent 100cm x 100 cm. Epaisseur 2mm</t>
  </si>
  <si>
    <t>https://www.leroymerlin.fr/produits/plaque-polycarbonate-compact-transparent-lisse-l-100-x-l-100-cm-ep-2-mm-82640037.html</t>
  </si>
  <si>
    <t xml:space="preserve">Sérure éléctro-magnétique </t>
  </si>
  <si>
    <t>https://www.amazon.fr/eMagTech-Cylindrique-%C3%89lectroaimant-%C3%89lectromagn%C3%A9tique-8x34-5x2-9mm/dp/B0FKSCV5HT/ref=sr_1_1?__mk_fr_FR=%C3%85M%C3%85%C5%BD%C3%95%C3%91&amp;crid=5LL8TMXQ70OH&amp;dib=eyJ2IjoiMSJ9.bhWLApeUwf3ic_q5M0uks6VoNW8UrCl5Rz_hrS82EsNfdEAH-0AnNlBZHYWUT5eV-sYlRZCXBf4ekotxmVptMzd_XbYTQ9yQaswEc0_sJHmxqUIDW0b27m7IP-kJW1M0wvsQJ-exMOMuCLuu9GJhX1KNpoDkMwtr_Kkj0fdwd_v5FlG_DvMk3YkZPTwE2VsLeOmWgRNrZObql5TpZy6zis63YwmRGvBrLPeRI5kKoxPpAYTC8LjkraKIhe_OoCIDOvwnIFDaGAMOt-5WXjTg5cAlIUArKEUYstiMJqtfRgU.S2ilxGmArIWbeSK_UkelX6msfgvi08ta9QWWf-A4a_A&amp;dib_tag=se&amp;keywords=mini%2Bpiston%2Belectromagnetique%2Barduino&amp;qid=1770212704&amp;sprefix=mini%2Bpisto%2Belectromagnetique%2Barduino%2Caps%2C203&amp;sr=8-1&amp;th=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</si>
</sst>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color theme="1"/>
      <name val="Arial"/>
      <scheme val="minor"/>
    </font>
    <font>
      <u/>
      <sz val="12.0"/>
      <color rgb="FF0000FF"/>
      <name val="Times"/>
    </font>
    <font>
      <sz val="13.0"/>
      <color rgb="FF1B1B1E"/>
      <name val="Sofia-pro"/>
    </font>
    <font>
      <color rgb="FF1B1B1E"/>
      <name val="Arial"/>
    </font>
    <font>
      <u/>
      <color rgb="FF0000FF"/>
    </font>
    <font>
      <u/>
      <color rgb="FF0000FF"/>
    </font>
    <font>
      <sz val="13.0"/>
      <color rgb="FF1B1B1E"/>
      <name val="Arial"/>
    </font>
    <font>
      <sz val="11.0"/>
      <color rgb="FF212529"/>
      <name val="Arial"/>
      <scheme val="minor"/>
    </font>
    <font>
      <color rgb="FFB9C0C6"/>
      <name val="Arial"/>
    </font>
    <font>
      <u/>
      <color rgb="FF0000FF"/>
    </font>
    <font>
      <sz val="12.0"/>
      <color rgb="FF1B1B1E"/>
      <name val="Sofia-pro"/>
    </font>
    <font>
      <b/>
      <sz val="10.0"/>
      <color rgb="FF212529"/>
      <name val="Arial"/>
      <scheme val="minor"/>
    </font>
    <font>
      <color rgb="FFFF0000"/>
      <name val="Arial"/>
      <scheme val="minor"/>
    </font>
    <font>
      <u/>
      <color rgb="FFFF0000"/>
    </font>
    <font>
      <u/>
      <color rgb="FFFF0000"/>
    </font>
    <font>
      <sz val="13.0"/>
      <color rgb="FFFF0000"/>
      <name val="Sofia-pro"/>
    </font>
    <font>
      <color rgb="FFFF0000"/>
      <name val="Arial"/>
    </font>
    <font>
      <u/>
      <color rgb="FFFF0000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5F5F7"/>
        <bgColor rgb="FFF5F5F7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0"/>
    </xf>
    <xf borderId="0" fillId="2" fontId="1" numFmtId="0" xfId="0" applyAlignment="1" applyFont="1">
      <alignment shrinkToFit="0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3" fontId="3" numFmtId="0" xfId="0" applyAlignment="1" applyFill="1" applyFont="1">
      <alignment horizontal="left" readingOrder="0"/>
    </xf>
    <xf borderId="0" fillId="0" fontId="1" numFmtId="0" xfId="0" applyAlignment="1" applyFont="1">
      <alignment shrinkToFit="0" wrapText="0"/>
    </xf>
    <xf borderId="0" fillId="3" fontId="4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shrinkToFit="0" wrapText="0"/>
    </xf>
    <xf borderId="0" fillId="3" fontId="7" numFmtId="0" xfId="0" applyAlignment="1" applyFont="1">
      <alignment horizontal="left" readingOrder="0"/>
    </xf>
    <xf borderId="0" fillId="3" fontId="8" numFmtId="0" xfId="0" applyAlignment="1" applyFont="1">
      <alignment horizontal="left" readingOrder="0"/>
    </xf>
    <xf borderId="0" fillId="4" fontId="9" numFmtId="0" xfId="0" applyAlignment="1" applyFill="1" applyFont="1">
      <alignment horizontal="left" readingOrder="0"/>
    </xf>
    <xf borderId="0" fillId="0" fontId="10" numFmtId="0" xfId="0" applyAlignment="1" applyFont="1">
      <alignment readingOrder="0"/>
    </xf>
    <xf borderId="0" fillId="3" fontId="11" numFmtId="0" xfId="0" applyAlignment="1" applyFont="1">
      <alignment horizontal="left" readingOrder="0"/>
    </xf>
    <xf borderId="0" fillId="3" fontId="12" numFmtId="0" xfId="0" applyAlignment="1" applyFont="1">
      <alignment horizontal="left" readingOrder="0"/>
    </xf>
    <xf borderId="0" fillId="0" fontId="13" numFmtId="0" xfId="0" applyAlignment="1" applyFont="1">
      <alignment readingOrder="0" shrinkToFit="0" wrapText="0"/>
    </xf>
    <xf borderId="0" fillId="0" fontId="14" numFmtId="0" xfId="0" applyAlignment="1" applyFont="1">
      <alignment readingOrder="0"/>
    </xf>
    <xf borderId="0" fillId="0" fontId="13" numFmtId="0" xfId="0" applyAlignment="1" applyFont="1">
      <alignment shrinkToFit="0" wrapText="0"/>
    </xf>
    <xf borderId="0" fillId="0" fontId="15" numFmtId="0" xfId="0" applyAlignment="1" applyFont="1">
      <alignment readingOrder="0" shrinkToFit="0" wrapText="0"/>
    </xf>
    <xf borderId="0" fillId="3" fontId="16" numFmtId="0" xfId="0" applyAlignment="1" applyFont="1">
      <alignment horizontal="left" readingOrder="0"/>
    </xf>
    <xf borderId="0" fillId="3" fontId="17" numFmtId="0" xfId="0" applyAlignment="1" applyFont="1">
      <alignment horizontal="left" readingOrder="0"/>
    </xf>
    <xf borderId="0" fillId="0" fontId="18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gotronic.fr/art-10-vis-acier-m3-10mm-6507.htm" TargetMode="External"/><Relationship Id="rId10" Type="http://schemas.openxmlformats.org/officeDocument/2006/relationships/hyperlink" Target="https://www.gotronic.fr/art-10-vis-acier-m3-6mm-6506.htm" TargetMode="External"/><Relationship Id="rId13" Type="http://schemas.openxmlformats.org/officeDocument/2006/relationships/hyperlink" Target="https://www.amazon.fr/eMagTech-Cylindrique-%C3%89lectroaimant-%C3%89lectromagn%C3%A9tique-8x34-5x2-9mm/dp/B0FKSCV5HT/ref=sr_1_1?__mk_fr_FR=%C3%85M%C3%85%C5%BD%C3%95%C3%91&amp;crid=5LL8TMXQ70OH&amp;dib=eyJ2IjoiMSJ9.bhWLApeUwf3ic_q5M0uks6VoNW8UrCl5Rz_hrS82EsNfdEAH-0AnNlBZHYWUT5eV-sYlRZCXBf4ekotxmVptMzd_XbYTQ9yQaswEc0_sJHmxqUIDW0b27m7IP-kJW1M0wvsQJ-exMOMuCLuu9GJhX1KNpoDkMwtr_Kkj0fdwd_v5FlG_DvMk3YkZPTwE2VsLeOmWgRNrZObql5TpZy6zis63YwmRGvBrLPeRI5kKoxPpAYTC8LjkraKIhe_OoCIDOvwnIFDaGAMOt-5WXjTg5cAlIUArKEUYstiMJqtfRgU.S2ilxGmArIWbeSK_UkelX6msfgvi08ta9QWWf-A4a_A&amp;dib_tag=se&amp;keywords=mini%2Bpiston%2Belectromagnetique%2Barduino&amp;qid=1770212704&amp;sprefix=mini%2Bpisto%2Belectromagnetique%2Barduino%2Caps%2C203&amp;sr=8-1&amp;th=1" TargetMode="External"/><Relationship Id="rId12" Type="http://schemas.openxmlformats.org/officeDocument/2006/relationships/hyperlink" Target="https://www.gotronic.fr/art-10-vis-acier-m3-20mm-6508.htm" TargetMode="External"/><Relationship Id="rId1" Type="http://schemas.openxmlformats.org/officeDocument/2006/relationships/hyperlink" Target="https://www.gotronic.fr/art-moteur-28byj-48-08-5-vcc-21213.htm" TargetMode="External"/><Relationship Id="rId2" Type="http://schemas.openxmlformats.org/officeDocument/2006/relationships/hyperlink" Target="https://www.gotronic.fr/art-capteur-de-gaz-mq2-31522.htm" TargetMode="External"/><Relationship Id="rId3" Type="http://schemas.openxmlformats.org/officeDocument/2006/relationships/hyperlink" Target="https://www.gotronic.fr/art-arduino-mega-2560-a000067-12421.htm" TargetMode="External"/><Relationship Id="rId4" Type="http://schemas.openxmlformats.org/officeDocument/2006/relationships/hyperlink" Target="https://www.amazon.fr/KEYESTUDIO-%C3%A9lectronique-temp%C3%A9rature-Programmation-Adolescents/dp/B09SYY7HKV/ref=sr_1_1?__mk_fr_FR=%C3%85M%C3%85%C5%BD%C3%95%C3%91&amp;crid=1VZFOOGEVGUTR&amp;dib=eyJ2IjoiMSJ9.uZCWBUi2YBn5YqY8oPHpKUYNh6Lf6pWs7heJhon3T4tF0A5WccLrpXbrGGFTJvuba3-Y4rYGy8HKcEsbyztNu76yNv36ZVoYLpsZLEa6c-FSuSe6OulDPCaBHBLQTmGJYkHlh0Ebqe4wjGkpIsRk5Y9ZppK33CCl5YQe76usZN9XOjsx7h9GXkRaogJiwz4DbqXW4QHpUT9dhTTfwENyfK4vMOeLnxa4UMOEC5QqUDThICuPob4TldPYjNXMonXAWjyhQSToHoeMw3diuTy5VCScE2a1h9WKLZZYqZXj0cU.889m7PNvXC2PpvBoQdeT8XrkZYjMLsn4Vie0HBikDHc&amp;dib_tag=se&amp;keywords=kit%2Bstudio%2Bkey%2Barduino&amp;qid=1769611992&amp;sprefix=kit%2Bstudio%2Bkey%2Barduino%2Caps%2C206&amp;sr=8-1&amp;th=1" TargetMode="External"/><Relationship Id="rId9" Type="http://schemas.openxmlformats.org/officeDocument/2006/relationships/hyperlink" Target="https://www.gotronic.fr/art-10-vis-acier-m3-30mm-6509.htm" TargetMode="External"/><Relationship Id="rId15" Type="http://schemas.openxmlformats.org/officeDocument/2006/relationships/hyperlink" Target="https://www.amazon.fr/Oikabio-Roulement-ABEC-5-pi%C3%A8ces-Miniature/dp/B0BBG8Z51V/ref=sr_1_15?crid=2WF9RY1BLUTAS&amp;dib=eyJ2IjoiMSJ9.P2ts2lD-jcJs9WC4SlWsENmGyy_t0Pz_S2m3i-8L8s-z-BZRYQr0VBD-B8G2UbqI4343FNZdKF-RZ1MFYnk5TSmfzQFhfKk-SwLLreNAwnr2ucEejd7heMpXQCVGvitOQGC3MA5qALugsJYoCG3gG5bZYrg1ucNTYNMBjS3HUy7IbNtR0vpy1NYeMcA3Xq9L3ypW4Aybh_et58zPH9Z05CYabnHYqEp0GwqXjMHnCfZDi0AYOOECJLICF_Nv0zyaA-v_F2f_AK3RymaRjmao7OVRIthF-taVNtmsO1ZAMik.DKDV24u6aB44iiETcSB9A8nv-qRwdj0T45kEHjWootk&amp;dib_tag=se&amp;keywords=roulement+684&amp;qid=1769681198&amp;sprefix=684+rouleme%2Caps%2C254&amp;sr=8-15" TargetMode="External"/><Relationship Id="rId14" Type="http://schemas.openxmlformats.org/officeDocument/2006/relationships/hyperlink" Target="https://www.amazon.fr/dp/B0BQLXFC9H/ref=sspa_dk_detail_1?psc=1&amp;pd_rd_i=B0BQLXFC9H&amp;pd_rd_w=6DBRL&amp;content-id=amzn1.sym.d28e3d6a-4412-4be7-a4f8-1c4a85ce86d9&amp;pf_rd_p=d28e3d6a-4412-4be7-a4f8-1c4a85ce86d9&amp;pf_rd_r=739BRRQ7KPX663QAF0J7&amp;pd_rd_wg=hjDR8&amp;pd_rd_r=0856425b-9cf8-4d77-b963-38aedcacc6e6&amp;aref=xrnO29EuRK&amp;sp_csd=d2lkZ2V0TmFtZT1zcF9kZXRhaWw" TargetMode="External"/><Relationship Id="rId17" Type="http://schemas.openxmlformats.org/officeDocument/2006/relationships/hyperlink" Target="https://www.leroymerlin.fr/produits/plaque-polycarbonate-compact-transparent-lisse-l-100-x-l-100-cm-ep-2-mm-82640037.html" TargetMode="External"/><Relationship Id="rId16" Type="http://schemas.openxmlformats.org/officeDocument/2006/relationships/hyperlink" Target="https://www.amazon.fr/HanOaki-codes-barres-contr%C3%B4le-syst%C3%A8mes-embarqu%C3%A9s/dp/B0G3P28KLH/ref=sr_1_6?crid=3O7BI6TW2XR92&amp;dib=eyJ2IjoiMSJ9.GGv22wk_Qc3Xqw9Jxg3KJYnS4S_GPOgBbNy_lHHzUlpyOpnw5PT-3jGMXhq3Ok_dl1O-fjOnLmHMPlf2zRctMV5LAdE2AqIfvKQnkQml5zBMleha9upUpkuNXXfCVb6Sr7iBxkNk9NsftaJrVDlyIR2D3OkZ7YEuUcKZj1ZwkihI2gPFJ5UiU4Ax5QnnCHRJJkvV9AZ8CqZXqDmiNCtFymIKaVb6lS-HJzFKAKowz6apnr9bBTLTZ7Tg97RY8ODVwEenSxJlc9P0n0Wp0GKAQHnE_807GguoEJQmrV6xr9A.WA1xiummBAml4Otoa5m1sbapmDSJwjNL38Jr2nExkh0&amp;dib_tag=se&amp;keywords=lecteur+qr+code+arduino&amp;qid=1770718271&amp;sprefix=qr+code+arduino%2Caps%2C557&amp;sr=8-6" TargetMode="External"/><Relationship Id="rId5" Type="http://schemas.openxmlformats.org/officeDocument/2006/relationships/hyperlink" Target="https://www.gotronic.fr/art-capteur-de-qualite-d-air-tvoc-et-eco2-pim480-31598.htm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www.gotronic.fr/art-capteur-de-force-fsr03-17595.htm" TargetMode="External"/><Relationship Id="rId18" Type="http://schemas.openxmlformats.org/officeDocument/2006/relationships/hyperlink" Target="https://www.amazon.fr/eMagTech-Cylindrique-%C3%89lectroaimant-%C3%89lectromagn%C3%A9tique-8x34-5x2-9mm/dp/B0FKSCV5HT/ref=sr_1_1?__mk_fr_FR=%C3%85M%C3%85%C5%BD%C3%95%C3%91&amp;crid=5LL8TMXQ70OH&amp;dib=eyJ2IjoiMSJ9.bhWLApeUwf3ic_q5M0uks6VoNW8UrCl5Rz_hrS82EsNfdEAH-0AnNlBZHYWUT5eV-sYlRZCXBf4ekotxmVptMzd_XbYTQ9yQaswEc0_sJHmxqUIDW0b27m7IP-kJW1M0wvsQJ-exMOMuCLuu9GJhX1KNpoDkMwtr_Kkj0fdwd_v5FlG_DvMk3YkZPTwE2VsLeOmWgRNrZObql5TpZy6zis63YwmRGvBrLPeRI5kKoxPpAYTC8LjkraKIhe_OoCIDOvwnIFDaGAMOt-5WXjTg5cAlIUArKEUYstiMJqtfRgU.S2ilxGmArIWbeSK_UkelX6msfgvi08ta9QWWf-A4a_A&amp;dib_tag=se&amp;keywords=mini%2Bpiston%2Belectromagnetique%2Barduino&amp;qid=1770212704&amp;sprefix=mini%2Bpisto%2Belectromagnetique%2Barduino%2Caps%2C203&amp;sr=8-1&amp;th=1" TargetMode="External"/><Relationship Id="rId7" Type="http://schemas.openxmlformats.org/officeDocument/2006/relationships/hyperlink" Target="https://www.gotronic.fr/art-capteur-dht20-gravity-47640.htm" TargetMode="External"/><Relationship Id="rId8" Type="http://schemas.openxmlformats.org/officeDocument/2006/relationships/hyperlink" Target="https://www.amazon.fr/Printing-thermique-plastique-impression-automobile/dp/B0CH32W3W5/ref=sr_1_6?crid=1VV9XRYFBRZBU&amp;dib=eyJ2IjoiMSJ9.A_zKEg1KBq4jRTm7SAyAa5NSjy6jFfcN9dVG1CLoyLUv7iTvlMjxq6G_ypPHfhu_bNxjMi_tANcjMp4fsB-GysL6uv0ELegpDicuX3cg6Hi7mTNvdgiUfz_JZVZY1rmAR2DULF_muxL6LyWUrnKmOx-e1zo2OGg7m4Q8yFL6tZ56ZxiTp34lk3eWnh-SZTZwlWn5xEnGNyyvHe_taZVPTsLbF2oqO8a6uJLIHl9-8dNoVP8OEXz1INiiG0HFBztq72QxZyd0sW0q4bcbGPLWA5otyOQzAbfgiM7MHxZoTSc.yRBNpCQ3RjZvt-iQjiEVXocUZLivpVmuOFMcDFMescE&amp;dib_tag=se&amp;keywords=insert+plastique+m3&amp;qid=1769430493&amp;sprefix=insert+plas%2Caps%2C236&amp;sr=8-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38"/>
    <col customWidth="1" min="3" max="3" width="53.63"/>
    <col customWidth="1" min="4" max="4" width="11.75"/>
    <col customWidth="1" min="7" max="7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7</v>
      </c>
      <c r="B2" s="3">
        <v>10.0</v>
      </c>
      <c r="C2" s="4" t="s">
        <v>8</v>
      </c>
      <c r="D2" s="5">
        <v>1646.0</v>
      </c>
      <c r="E2" s="3">
        <v>7.9</v>
      </c>
      <c r="F2" s="6">
        <f t="shared" ref="F2:F4" si="1">B2*E2</f>
        <v>79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3" t="s">
        <v>9</v>
      </c>
      <c r="B3" s="3">
        <v>4.0</v>
      </c>
      <c r="C3" s="4" t="s">
        <v>10</v>
      </c>
      <c r="D3" s="5">
        <v>36702.0</v>
      </c>
      <c r="E3" s="3">
        <v>3.8</v>
      </c>
      <c r="F3" s="3">
        <f t="shared" si="1"/>
        <v>15.2</v>
      </c>
      <c r="G3" s="7" t="s">
        <v>11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3" t="s">
        <v>12</v>
      </c>
      <c r="B4" s="3">
        <v>1.0</v>
      </c>
      <c r="C4" s="8" t="s">
        <v>13</v>
      </c>
      <c r="D4" s="5">
        <v>25951.0</v>
      </c>
      <c r="E4" s="6">
        <v>47.0</v>
      </c>
      <c r="F4" s="3">
        <f t="shared" si="1"/>
        <v>47</v>
      </c>
      <c r="G4" s="7" t="s">
        <v>14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3" t="s">
        <v>15</v>
      </c>
      <c r="B5" s="3"/>
      <c r="C5" s="9" t="s">
        <v>16</v>
      </c>
      <c r="D5" s="10"/>
      <c r="E5" s="3">
        <v>58.0</v>
      </c>
      <c r="F5" s="3">
        <v>58.0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3" t="s">
        <v>17</v>
      </c>
      <c r="B6" s="3">
        <v>5.0</v>
      </c>
      <c r="C6" s="8" t="s">
        <v>18</v>
      </c>
      <c r="D6" s="5">
        <v>36731.0</v>
      </c>
      <c r="E6" s="3">
        <v>21.9</v>
      </c>
      <c r="F6" s="3">
        <f t="shared" ref="F6:F7" si="2">B6*E6</f>
        <v>109.5</v>
      </c>
      <c r="G6" s="7" t="s">
        <v>19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11" t="s">
        <v>20</v>
      </c>
      <c r="B7" s="3">
        <v>1.0</v>
      </c>
      <c r="C7" s="8" t="s">
        <v>21</v>
      </c>
      <c r="D7" s="5">
        <v>24574.0</v>
      </c>
      <c r="E7" s="3">
        <v>16.4</v>
      </c>
      <c r="F7" s="3">
        <f t="shared" si="2"/>
        <v>16.4</v>
      </c>
      <c r="G7" s="3" t="s">
        <v>22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3" t="s">
        <v>23</v>
      </c>
      <c r="B8" s="3">
        <v>6.0</v>
      </c>
      <c r="C8" s="8" t="s">
        <v>24</v>
      </c>
      <c r="D8" s="5"/>
      <c r="E8" s="12">
        <v>7.92</v>
      </c>
      <c r="F8" s="3">
        <v>48.0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3" t="s">
        <v>25</v>
      </c>
      <c r="B9" s="3">
        <v>1.0</v>
      </c>
      <c r="C9" s="9" t="s">
        <v>26</v>
      </c>
      <c r="D9" s="6"/>
      <c r="E9" s="3">
        <v>7.99</v>
      </c>
      <c r="F9" s="3">
        <f t="shared" ref="F9:F14" si="3">B9*E9</f>
        <v>7.99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3" t="s">
        <v>27</v>
      </c>
      <c r="B10" s="3">
        <v>2.0</v>
      </c>
      <c r="C10" s="13" t="s">
        <v>28</v>
      </c>
      <c r="D10" s="14">
        <v>11522.0</v>
      </c>
      <c r="E10" s="3">
        <v>0.65</v>
      </c>
      <c r="F10" s="3">
        <f t="shared" si="3"/>
        <v>1.3</v>
      </c>
      <c r="G10" s="7" t="s">
        <v>29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3" t="s">
        <v>30</v>
      </c>
      <c r="B11" s="3">
        <v>2.0</v>
      </c>
      <c r="C11" s="8" t="s">
        <v>31</v>
      </c>
      <c r="D11" s="14">
        <v>11519.0</v>
      </c>
      <c r="E11" s="3">
        <v>0.5</v>
      </c>
      <c r="F11" s="3">
        <f t="shared" si="3"/>
        <v>1</v>
      </c>
      <c r="G11" s="3" t="s">
        <v>32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15" t="s">
        <v>33</v>
      </c>
      <c r="B12" s="3">
        <v>2.0</v>
      </c>
      <c r="C12" s="8" t="s">
        <v>34</v>
      </c>
      <c r="D12" s="14">
        <v>11520.0</v>
      </c>
      <c r="E12" s="3">
        <v>0.5</v>
      </c>
      <c r="F12" s="3">
        <f t="shared" si="3"/>
        <v>1</v>
      </c>
      <c r="G12" s="3" t="s">
        <v>35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3" t="s">
        <v>36</v>
      </c>
      <c r="B13" s="3">
        <v>2.0</v>
      </c>
      <c r="C13" s="8" t="s">
        <v>37</v>
      </c>
      <c r="D13" s="14">
        <v>11521.0</v>
      </c>
      <c r="E13" s="3">
        <v>0.65</v>
      </c>
      <c r="F13" s="3">
        <f t="shared" si="3"/>
        <v>1.3</v>
      </c>
      <c r="G13" s="3" t="s">
        <v>38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3"/>
      <c r="B14" s="6"/>
      <c r="C14" s="13" t="s">
        <v>39</v>
      </c>
      <c r="D14" s="6"/>
      <c r="E14" s="6"/>
      <c r="F14" s="3">
        <f t="shared" si="3"/>
        <v>0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16" t="s">
        <v>40</v>
      </c>
      <c r="B15" s="16">
        <v>1.0</v>
      </c>
      <c r="C15" s="17" t="s">
        <v>41</v>
      </c>
      <c r="D15" s="18"/>
      <c r="E15" s="16">
        <v>14.0</v>
      </c>
      <c r="F15" s="16">
        <v>14.0</v>
      </c>
      <c r="G15" s="16" t="s">
        <v>42</v>
      </c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>
      <c r="A16" s="16" t="s">
        <v>43</v>
      </c>
      <c r="B16" s="16">
        <v>2.0</v>
      </c>
      <c r="C16" s="19" t="s">
        <v>44</v>
      </c>
      <c r="D16" s="18"/>
      <c r="E16" s="16">
        <v>3.63</v>
      </c>
      <c r="F16" s="16">
        <f>B16*E16</f>
        <v>7.26</v>
      </c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>
      <c r="A17" s="16" t="s">
        <v>45</v>
      </c>
      <c r="B17" s="16">
        <v>1.0</v>
      </c>
      <c r="C17" s="19" t="s">
        <v>46</v>
      </c>
      <c r="D17" s="18"/>
      <c r="E17" s="18"/>
      <c r="F17" s="16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>
      <c r="A18" s="16" t="s">
        <v>47</v>
      </c>
      <c r="B18" s="16">
        <v>1.0</v>
      </c>
      <c r="C18" s="19" t="s">
        <v>48</v>
      </c>
      <c r="D18" s="20"/>
      <c r="E18" s="16">
        <v>1.0</v>
      </c>
      <c r="F18" s="16">
        <v>40.0</v>
      </c>
      <c r="G18" s="21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>
      <c r="A19" s="16" t="s">
        <v>49</v>
      </c>
      <c r="B19" s="16">
        <v>1.0</v>
      </c>
      <c r="C19" s="22" t="s">
        <v>50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3" t="s">
        <v>5</v>
      </c>
      <c r="B21" s="6">
        <f>SUM(F2:F21)</f>
        <v>446.95</v>
      </c>
      <c r="C21" s="3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6"/>
      <c r="C23" s="6"/>
      <c r="D23" s="6"/>
      <c r="E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6"/>
      <c r="C24" s="6"/>
      <c r="D24" s="6"/>
      <c r="E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6"/>
      <c r="C25" s="6"/>
      <c r="D25" s="6"/>
      <c r="E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6"/>
      <c r="C26" s="6"/>
      <c r="D26" s="6"/>
      <c r="E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6"/>
      <c r="C27" s="6"/>
      <c r="D27" s="6"/>
      <c r="E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6"/>
      <c r="C28" s="6"/>
      <c r="D28" s="6"/>
      <c r="E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6"/>
      <c r="C29" s="6"/>
      <c r="D29" s="6"/>
      <c r="E29" s="6"/>
      <c r="F29" s="6"/>
      <c r="G29" s="6"/>
      <c r="H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6"/>
      <c r="C30" s="6"/>
      <c r="D30" s="6"/>
      <c r="E30" s="6"/>
      <c r="F30" s="6"/>
      <c r="G30" s="6"/>
      <c r="H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</hyperlinks>
  <drawing r:id="rId19"/>
</worksheet>
</file>